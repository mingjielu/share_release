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gjiel\Downloads\"/>
    </mc:Choice>
  </mc:AlternateContent>
  <xr:revisionPtr revIDLastSave="0" documentId="8_{B1954768-CF29-47B2-9BAD-C0FD5533A056}" xr6:coauthVersionLast="47" xr6:coauthVersionMax="47" xr10:uidLastSave="{00000000-0000-0000-0000-000000000000}"/>
  <bookViews>
    <workbookView xWindow="-57720" yWindow="-120" windowWidth="29040" windowHeight="15720" xr2:uid="{4B02A4A3-B175-452B-BD8B-6EF26BE06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9" i="1"/>
  <c r="K12" i="1"/>
  <c r="K3" i="1"/>
  <c r="I12" i="1"/>
  <c r="J12" i="1"/>
  <c r="H12" i="1"/>
  <c r="G12" i="1"/>
  <c r="H11" i="1"/>
  <c r="G11" i="1"/>
  <c r="I6" i="1"/>
  <c r="J6" i="1"/>
  <c r="I9" i="1"/>
  <c r="J9" i="1"/>
  <c r="H3" i="1"/>
  <c r="H4" i="1"/>
  <c r="H5" i="1"/>
  <c r="H6" i="1"/>
  <c r="H7" i="1"/>
  <c r="H8" i="1"/>
  <c r="H9" i="1"/>
  <c r="H10" i="1"/>
  <c r="G3" i="1"/>
  <c r="G4" i="1"/>
  <c r="G5" i="1"/>
  <c r="G6" i="1"/>
  <c r="G7" i="1"/>
  <c r="G8" i="1"/>
  <c r="G9" i="1"/>
  <c r="G10" i="1"/>
  <c r="J3" i="1"/>
  <c r="I3" i="1"/>
  <c r="H2" i="1"/>
  <c r="G2" i="1"/>
</calcChain>
</file>

<file path=xl/sharedStrings.xml><?xml version="1.0" encoding="utf-8"?>
<sst xmlns="http://schemas.openxmlformats.org/spreadsheetml/2006/main" count="30" uniqueCount="18">
  <si>
    <t>Mi308-fwd</t>
  </si>
  <si>
    <t>Mi308-bwd</t>
  </si>
  <si>
    <t>H20-fwd</t>
  </si>
  <si>
    <t>H20-bwd</t>
  </si>
  <si>
    <t>MHA: qkv:128,128,128</t>
  </si>
  <si>
    <t>MLA: qkv: 192,192,128</t>
  </si>
  <si>
    <t>MLA-padding: qkv: 192,192,192</t>
  </si>
  <si>
    <t>ratio-fwd</t>
    <phoneticPr fontId="2" type="noConversion"/>
  </si>
  <si>
    <t>ratio-bwd</t>
    <phoneticPr fontId="2" type="noConversion"/>
  </si>
  <si>
    <t>padding-ratio-mla-fwd</t>
    <phoneticPr fontId="2" type="noConversion"/>
  </si>
  <si>
    <t>padding-ratio-mla-bwd</t>
    <phoneticPr fontId="2" type="noConversion"/>
  </si>
  <si>
    <t>32k</t>
    <phoneticPr fontId="2" type="noConversion"/>
  </si>
  <si>
    <t>16k=128k/cp8</t>
    <phoneticPr fontId="2" type="noConversion"/>
  </si>
  <si>
    <t>128k</t>
    <phoneticPr fontId="2" type="noConversion"/>
  </si>
  <si>
    <t>config</t>
    <phoneticPr fontId="2" type="noConversion"/>
  </si>
  <si>
    <t>256k</t>
    <phoneticPr fontId="2" type="noConversion"/>
  </si>
  <si>
    <t>_</t>
    <phoneticPr fontId="2" type="noConversion"/>
  </si>
  <si>
    <t>padding-ratio-mla-(fwd+bwd)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</si>
</sst>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);[Red]\(0.00\)"/>
    <numFmt numFmtId="183" formatCode="0.0_);[Red]\(0.0\)"/>
  </numFmts>
  <fonts count="3" x14ac:knownFonts="1">
    <font>
      <sz val="11"/>
      <color theme="1"/>
      <name val="Arial"/>
      <family val="2"/>
      <charset val="134"/>
    </font>
    <font>
      <b/>
      <sz val="11"/>
      <color theme="1"/>
      <name val="Arial"/>
      <family val="2"/>
    </font>
    <font>
      <sz val="9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180" fontId="1" fillId="0" borderId="1" xfId="0" applyNumberFormat="1" applyFont="1" applyBorder="1" applyAlignment="1">
      <alignment horizontal="center" vertical="center" wrapText="1"/>
    </xf>
    <xf numFmtId="180" fontId="0" fillId="0" borderId="1" xfId="0" applyNumberFormat="1" applyBorder="1">
      <alignment vertical="center"/>
    </xf>
    <xf numFmtId="180" fontId="0" fillId="0" borderId="0" xfId="0" applyNumberForma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3" fontId="0" fillId="0" borderId="0" xfId="0" applyNumberFormat="1">
      <alignment vertical="center"/>
    </xf>
    <xf numFmtId="183" fontId="1" fillId="0" borderId="0" xfId="0" applyNumberFormat="1" applyFont="1" applyFill="1" applyBorder="1" applyAlignment="1">
      <alignment horizontal="center" vertical="center" wrapText="1"/>
    </xf>
    <xf numFmtId="180" fontId="1" fillId="0" borderId="0" xfId="0" applyNumberFormat="1" applyFont="1" applyFill="1" applyBorder="1" applyAlignment="1">
      <alignment horizontal="center" vertical="center" wrapText="1"/>
    </xf>
    <xf numFmtId="183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227F-673D-4C6F-8E4C-21B7CFE8FA57}">
  <dimension ref="A1:N13"/>
  <sheetViews>
    <sheetView tabSelected="1" zoomScale="130" zoomScaleNormal="130" workbookViewId="0">
      <selection activeCell="E16" sqref="E16"/>
    </sheetView>
  </sheetViews>
  <sheetFormatPr defaultRowHeight="14" x14ac:dyDescent="0.3"/>
  <cols>
    <col min="1" max="1" width="22.33203125" customWidth="1"/>
    <col min="2" max="2" width="20.6640625" customWidth="1"/>
    <col min="7" max="7" width="8.6640625" style="10"/>
    <col min="8" max="8" width="11.1640625" style="10" customWidth="1"/>
    <col min="9" max="10" width="8.6640625" style="10"/>
    <col min="11" max="11" width="11.9140625" style="14" customWidth="1"/>
  </cols>
  <sheetData>
    <row r="1" spans="1:14" ht="42" x14ac:dyDescent="0.3">
      <c r="A1" s="1"/>
      <c r="B1" s="2" t="s">
        <v>14</v>
      </c>
      <c r="C1" s="2" t="s">
        <v>0</v>
      </c>
      <c r="D1" s="2" t="s">
        <v>1</v>
      </c>
      <c r="E1" s="2" t="s">
        <v>2</v>
      </c>
      <c r="F1" s="2" t="s">
        <v>3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17</v>
      </c>
      <c r="L1" s="16"/>
      <c r="M1" s="15"/>
      <c r="N1" s="16"/>
    </row>
    <row r="2" spans="1:14" x14ac:dyDescent="0.3">
      <c r="A2" s="11" t="s">
        <v>12</v>
      </c>
      <c r="B2" s="3" t="s">
        <v>4</v>
      </c>
      <c r="C2" s="3">
        <v>13.6</v>
      </c>
      <c r="D2" s="3">
        <v>20.7</v>
      </c>
      <c r="E2" s="3">
        <v>8.2899999999999991</v>
      </c>
      <c r="F2" s="3">
        <v>20.2</v>
      </c>
      <c r="G2" s="9">
        <f>C2/E2</f>
        <v>1.6405307599517491</v>
      </c>
      <c r="H2" s="9">
        <f>D2/F2</f>
        <v>1.0247524752475248</v>
      </c>
      <c r="I2" s="9"/>
      <c r="J2" s="9"/>
      <c r="K2" s="17"/>
      <c r="L2" s="14"/>
      <c r="M2" s="14"/>
      <c r="N2" s="14"/>
    </row>
    <row r="3" spans="1:14" x14ac:dyDescent="0.3">
      <c r="A3" s="12"/>
      <c r="B3" s="3" t="s">
        <v>5</v>
      </c>
      <c r="C3" s="3">
        <v>23.5</v>
      </c>
      <c r="D3" s="3">
        <v>127</v>
      </c>
      <c r="E3" s="4">
        <v>10.3</v>
      </c>
      <c r="F3" s="4">
        <v>29.9</v>
      </c>
      <c r="G3" s="9">
        <f t="shared" ref="G3:G12" si="0">C3/E3</f>
        <v>2.2815533980582523</v>
      </c>
      <c r="H3" s="9">
        <f t="shared" ref="H3:H12" si="1">D3/F3</f>
        <v>4.2474916387959869</v>
      </c>
      <c r="I3" s="9">
        <f>C4/E3</f>
        <v>2.2135922330097086</v>
      </c>
      <c r="J3" s="9">
        <f>D4/F3</f>
        <v>1.5652173913043479</v>
      </c>
      <c r="K3" s="17">
        <f>(C4+D4)/(E3+F3)</f>
        <v>1.7313432835820892</v>
      </c>
      <c r="L3" s="14"/>
      <c r="M3" s="14"/>
      <c r="N3" s="14"/>
    </row>
    <row r="4" spans="1:14" ht="28" x14ac:dyDescent="0.3">
      <c r="A4" s="13"/>
      <c r="B4" s="3" t="s">
        <v>6</v>
      </c>
      <c r="C4" s="5">
        <v>22.8</v>
      </c>
      <c r="D4" s="5">
        <v>46.8</v>
      </c>
      <c r="E4" s="3">
        <v>12.3</v>
      </c>
      <c r="F4" s="3">
        <v>37.6</v>
      </c>
      <c r="G4" s="9">
        <f t="shared" si="0"/>
        <v>1.8536585365853657</v>
      </c>
      <c r="H4" s="9">
        <f t="shared" si="1"/>
        <v>1.2446808510638296</v>
      </c>
      <c r="I4" s="9"/>
      <c r="J4" s="9"/>
      <c r="K4" s="17"/>
      <c r="L4" s="14"/>
      <c r="M4" s="14"/>
      <c r="N4" s="14"/>
    </row>
    <row r="5" spans="1:14" x14ac:dyDescent="0.3">
      <c r="A5" s="11" t="s">
        <v>11</v>
      </c>
      <c r="B5" s="3" t="s">
        <v>4</v>
      </c>
      <c r="C5" s="1">
        <v>53.3</v>
      </c>
      <c r="D5" s="1">
        <v>79.7</v>
      </c>
      <c r="E5" s="1">
        <v>31.8</v>
      </c>
      <c r="F5" s="1">
        <v>78.8</v>
      </c>
      <c r="G5" s="9">
        <f t="shared" si="0"/>
        <v>1.6761006289308176</v>
      </c>
      <c r="H5" s="9">
        <f t="shared" si="1"/>
        <v>1.0114213197969544</v>
      </c>
      <c r="I5" s="9"/>
      <c r="J5" s="9"/>
      <c r="K5" s="17"/>
      <c r="L5" s="14"/>
      <c r="M5" s="14"/>
      <c r="N5" s="14"/>
    </row>
    <row r="6" spans="1:14" x14ac:dyDescent="0.3">
      <c r="A6" s="12"/>
      <c r="B6" s="3" t="s">
        <v>5</v>
      </c>
      <c r="C6" s="1">
        <v>92.6</v>
      </c>
      <c r="D6" s="1">
        <v>478.2</v>
      </c>
      <c r="E6" s="6">
        <v>39.799999999999997</v>
      </c>
      <c r="F6" s="6">
        <v>114.7</v>
      </c>
      <c r="G6" s="9">
        <f t="shared" si="0"/>
        <v>2.3266331658291457</v>
      </c>
      <c r="H6" s="9">
        <f t="shared" si="1"/>
        <v>4.1691368788142977</v>
      </c>
      <c r="I6" s="9">
        <f t="shared" ref="I4:I9" si="2">C7/E6</f>
        <v>2.3065326633165828</v>
      </c>
      <c r="J6" s="9">
        <f t="shared" ref="J4:J9" si="3">D7/F6</f>
        <v>1.5047951176983434</v>
      </c>
      <c r="K6" s="17">
        <f t="shared" ref="K4:K12" si="4">(C7+D7)/(E6+F6)</f>
        <v>1.7113268608414238</v>
      </c>
      <c r="L6" s="14"/>
      <c r="M6" s="14"/>
      <c r="N6" s="14"/>
    </row>
    <row r="7" spans="1:14" ht="28" x14ac:dyDescent="0.3">
      <c r="A7" s="13"/>
      <c r="B7" s="3" t="s">
        <v>6</v>
      </c>
      <c r="C7" s="7">
        <v>91.8</v>
      </c>
      <c r="D7" s="7">
        <v>172.6</v>
      </c>
      <c r="E7" s="1">
        <v>47.6</v>
      </c>
      <c r="F7" s="1">
        <v>145.69999999999999</v>
      </c>
      <c r="G7" s="9">
        <f t="shared" si="0"/>
        <v>1.9285714285714284</v>
      </c>
      <c r="H7" s="9">
        <f t="shared" si="1"/>
        <v>1.1846259437199727</v>
      </c>
      <c r="I7" s="9"/>
      <c r="J7" s="9"/>
      <c r="K7" s="17"/>
      <c r="L7" s="14"/>
      <c r="M7" s="14"/>
      <c r="N7" s="14"/>
    </row>
    <row r="8" spans="1:14" x14ac:dyDescent="0.3">
      <c r="A8" s="11" t="s">
        <v>13</v>
      </c>
      <c r="B8" s="3" t="s">
        <v>4</v>
      </c>
      <c r="C8" s="1">
        <v>852.2</v>
      </c>
      <c r="D8" s="1">
        <v>1213</v>
      </c>
      <c r="E8" s="1">
        <v>497.6</v>
      </c>
      <c r="F8" s="1">
        <v>1240</v>
      </c>
      <c r="G8" s="9">
        <f t="shared" si="0"/>
        <v>1.712620578778135</v>
      </c>
      <c r="H8" s="9">
        <f t="shared" si="1"/>
        <v>0.97822580645161294</v>
      </c>
      <c r="I8" s="9"/>
      <c r="J8" s="9"/>
      <c r="K8" s="17"/>
      <c r="L8" s="14"/>
      <c r="M8" s="14"/>
      <c r="N8" s="14"/>
    </row>
    <row r="9" spans="1:14" x14ac:dyDescent="0.3">
      <c r="A9" s="12"/>
      <c r="B9" s="3" t="s">
        <v>5</v>
      </c>
      <c r="C9" s="1">
        <v>1506</v>
      </c>
      <c r="D9" s="1">
        <v>7500</v>
      </c>
      <c r="E9" s="6">
        <v>621.4</v>
      </c>
      <c r="F9" s="6">
        <v>1776</v>
      </c>
      <c r="G9" s="9">
        <f t="shared" si="0"/>
        <v>2.4235597038944321</v>
      </c>
      <c r="H9" s="9">
        <f t="shared" si="1"/>
        <v>4.2229729729729728</v>
      </c>
      <c r="I9" s="9">
        <f t="shared" si="2"/>
        <v>2.3994206630189896</v>
      </c>
      <c r="J9" s="9">
        <f t="shared" si="3"/>
        <v>1.5264639639639639</v>
      </c>
      <c r="K9" s="17">
        <f t="shared" si="4"/>
        <v>1.7527321264703428</v>
      </c>
      <c r="L9" s="14"/>
      <c r="M9" s="14"/>
      <c r="N9" s="14"/>
    </row>
    <row r="10" spans="1:14" ht="28" x14ac:dyDescent="0.3">
      <c r="A10" s="13"/>
      <c r="B10" s="3" t="s">
        <v>6</v>
      </c>
      <c r="C10" s="7">
        <v>1491</v>
      </c>
      <c r="D10" s="7">
        <v>2711</v>
      </c>
      <c r="E10" s="1">
        <v>745.4</v>
      </c>
      <c r="F10" s="1">
        <v>2270</v>
      </c>
      <c r="G10" s="9">
        <f t="shared" si="0"/>
        <v>2.0002683123155354</v>
      </c>
      <c r="H10" s="9">
        <f t="shared" si="1"/>
        <v>1.1942731277533041</v>
      </c>
      <c r="I10" s="9"/>
      <c r="J10" s="9"/>
      <c r="K10" s="17"/>
      <c r="L10" s="14"/>
      <c r="M10" s="14"/>
      <c r="N10" s="14"/>
    </row>
    <row r="11" spans="1:14" x14ac:dyDescent="0.3">
      <c r="A11" s="11" t="s">
        <v>15</v>
      </c>
      <c r="B11" s="3" t="s">
        <v>4</v>
      </c>
      <c r="C11" s="1">
        <v>3400</v>
      </c>
      <c r="D11" s="1">
        <v>4810</v>
      </c>
      <c r="E11" s="1">
        <v>1983</v>
      </c>
      <c r="F11" s="1">
        <v>4950</v>
      </c>
      <c r="G11" s="9">
        <f t="shared" si="0"/>
        <v>1.7145738779626829</v>
      </c>
      <c r="H11" s="9">
        <f t="shared" si="1"/>
        <v>0.97171717171717176</v>
      </c>
      <c r="I11" s="9"/>
      <c r="J11" s="9"/>
      <c r="K11" s="17"/>
      <c r="L11" s="14"/>
      <c r="M11" s="14"/>
      <c r="N11" s="14"/>
    </row>
    <row r="12" spans="1:14" x14ac:dyDescent="0.3">
      <c r="A12" s="12"/>
      <c r="B12" s="3" t="s">
        <v>5</v>
      </c>
      <c r="C12" s="1">
        <v>6214</v>
      </c>
      <c r="D12" s="1">
        <v>29915</v>
      </c>
      <c r="E12" s="6">
        <v>2479</v>
      </c>
      <c r="F12" s="6">
        <v>7059</v>
      </c>
      <c r="G12" s="9">
        <f t="shared" si="0"/>
        <v>2.5066559096409842</v>
      </c>
      <c r="H12" s="9">
        <f t="shared" si="1"/>
        <v>4.2378523870236577</v>
      </c>
      <c r="I12" s="9">
        <f t="shared" ref="I10:I13" si="5">C13/E12</f>
        <v>2.4058087938684953</v>
      </c>
      <c r="J12" s="9">
        <f t="shared" ref="J10:J13" si="6">D13/F12</f>
        <v>1.5342116447088823</v>
      </c>
      <c r="K12" s="17">
        <f t="shared" si="4"/>
        <v>1.7607464877332775</v>
      </c>
      <c r="L12" s="14"/>
      <c r="M12" s="14"/>
      <c r="N12" s="14"/>
    </row>
    <row r="13" spans="1:14" ht="28" x14ac:dyDescent="0.3">
      <c r="A13" s="13"/>
      <c r="B13" s="3" t="s">
        <v>6</v>
      </c>
      <c r="C13" s="7">
        <v>5964</v>
      </c>
      <c r="D13" s="7">
        <v>10830</v>
      </c>
      <c r="E13" s="1" t="s">
        <v>16</v>
      </c>
      <c r="F13" s="1" t="s">
        <v>16</v>
      </c>
      <c r="G13" s="9" t="s">
        <v>16</v>
      </c>
      <c r="H13" s="9" t="s">
        <v>16</v>
      </c>
      <c r="I13" s="9"/>
      <c r="J13" s="9"/>
      <c r="K13" s="17"/>
      <c r="L13" s="14"/>
      <c r="M13" s="14"/>
      <c r="N13" s="14"/>
    </row>
  </sheetData>
  <mergeCells count="4">
    <mergeCell ref="A2:A4"/>
    <mergeCell ref="A5:A7"/>
    <mergeCell ref="A8:A10"/>
    <mergeCell ref="A11:A13"/>
  </mergeCells>
  <phoneticPr fontId="2" type="noConversion"/>
  <pageMargins left="0.7" right="0.7" top="0.75" bottom="0.75" header="0.3" footer="0.3"/>
  <headerFooter>
    <oddHeader>&amp;L&amp;"Aptos"&amp;10&amp;K008000 [Public]&amp;1#_x000D_</oddHeader>
  </headerFooter>
</worksheet>
</file>

<file path=docMetadata/LabelInfo.xml><?xml version="1.0" encoding="utf-8"?>
<clbl:labelList xmlns:clbl="http://schemas.microsoft.com/office/2020/mipLabelMetadata">
  <clbl:label id="{f265efc6-e181-49d6-80f4-fae95cf838a0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Mingjie</dc:creator>
  <cp:lastModifiedBy>Lu, Mingjie</cp:lastModifiedBy>
  <dcterms:created xsi:type="dcterms:W3CDTF">2026-02-02T07:47:55Z</dcterms:created>
  <dcterms:modified xsi:type="dcterms:W3CDTF">2026-02-03T03:12:33Z</dcterms:modified>
</cp:coreProperties>
</file>